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damota/Documents/GitHub/r1-c4-robot/docs/cost-assessment/"/>
    </mc:Choice>
  </mc:AlternateContent>
  <xr:revisionPtr revIDLastSave="0" documentId="8_{B416A007-FC02-334F-B508-CE78180C3E4A}" xr6:coauthVersionLast="47" xr6:coauthVersionMax="47" xr10:uidLastSave="{00000000-0000-0000-0000-000000000000}"/>
  <bookViews>
    <workbookView xWindow="0" yWindow="660" windowWidth="30240" windowHeight="17720" xr2:uid="{6AFC922E-1CB7-6D40-AE60-DF394CF2C5F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2" i="1"/>
  <c r="I2" i="1"/>
  <c r="H27" i="1" s="1"/>
  <c r="D3" i="1"/>
  <c r="I3" i="1"/>
  <c r="D4" i="1"/>
  <c r="D5" i="1"/>
  <c r="D6" i="1"/>
  <c r="D7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B27" i="1" l="1"/>
  <c r="E29" i="1" s="1"/>
</calcChain>
</file>

<file path=xl/sharedStrings.xml><?xml version="1.0" encoding="utf-8"?>
<sst xmlns="http://schemas.openxmlformats.org/spreadsheetml/2006/main" count="40" uniqueCount="37">
  <si>
    <t>Matériels</t>
  </si>
  <si>
    <t>Humain</t>
  </si>
  <si>
    <t>Module relais</t>
  </si>
  <si>
    <t>Prix (€)</t>
  </si>
  <si>
    <t>Total (€)</t>
  </si>
  <si>
    <t>Quantité (-)</t>
  </si>
  <si>
    <t>Temps (h)</t>
  </si>
  <si>
    <t>TMC2209</t>
  </si>
  <si>
    <t>Cytron Mdd10A</t>
  </si>
  <si>
    <t>Cytron Mdd10C</t>
  </si>
  <si>
    <t xml:space="preserve">Esp32U </t>
  </si>
  <si>
    <t>Jetson nano</t>
  </si>
  <si>
    <t>Chaine 25h</t>
  </si>
  <si>
    <t>Roulement rotatif</t>
  </si>
  <si>
    <t>Roulements à billes</t>
  </si>
  <si>
    <t>Moteur DC - 27 rpm</t>
  </si>
  <si>
    <t>Tige filetée 5 mm</t>
  </si>
  <si>
    <t>Tige linéaire 8 mm</t>
  </si>
  <si>
    <t>Barre métallique 25 mm</t>
  </si>
  <si>
    <t>Roulement à paliers</t>
  </si>
  <si>
    <t>Pignon distribution 8 mm</t>
  </si>
  <si>
    <t>Tige filetée 8 mm - 25 mm</t>
  </si>
  <si>
    <t>Emma</t>
  </si>
  <si>
    <t>Vladimir</t>
  </si>
  <si>
    <t>PETG</t>
  </si>
  <si>
    <t>Contreplaqué - 3 mm</t>
  </si>
  <si>
    <t>Contrplaqué - 5 mm</t>
  </si>
  <si>
    <t>Visserie</t>
  </si>
  <si>
    <t>Vérin 500N - 50 mm</t>
  </si>
  <si>
    <t>Moteur DC série 919</t>
  </si>
  <si>
    <t xml:space="preserve">Camera logitech </t>
  </si>
  <si>
    <t>€</t>
  </si>
  <si>
    <t>Convertisseur Buck</t>
  </si>
  <si>
    <t>Coût horaire (€)</t>
  </si>
  <si>
    <t>Coût matériel TOTAL =</t>
  </si>
  <si>
    <t>Coût humain TOTAL =</t>
  </si>
  <si>
    <t>COÛT TOTAL R1-C4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</si>
</sst>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i/>
      <sz val="14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3" fillId="9" borderId="0" xfId="0" applyFont="1" applyFill="1" applyAlignment="1">
      <alignment horizontal="right"/>
    </xf>
    <xf numFmtId="0" fontId="3" fillId="9" borderId="0" xfId="0" applyFont="1" applyFill="1"/>
    <xf numFmtId="0" fontId="2" fillId="10" borderId="0" xfId="0" applyFont="1" applyFill="1"/>
    <xf numFmtId="0" fontId="0" fillId="4" borderId="0" xfId="0" applyFill="1"/>
    <xf numFmtId="0" fontId="3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CB65-9E44-6943-87FA-49A6A1096E40}">
  <dimension ref="A1:P38"/>
  <sheetViews>
    <sheetView tabSelected="1" zoomScale="125" workbookViewId="0">
      <selection activeCell="B30" sqref="B30"/>
    </sheetView>
  </sheetViews>
  <sheetFormatPr baseColWidth="10" defaultRowHeight="16" x14ac:dyDescent="0.2"/>
  <cols>
    <col min="1" max="1" width="23" customWidth="1"/>
    <col min="3" max="3" width="13" customWidth="1"/>
    <col min="8" max="8" width="18.1640625" customWidth="1"/>
  </cols>
  <sheetData>
    <row r="1" spans="1:16" ht="18" x14ac:dyDescent="0.2">
      <c r="A1" s="2" t="s">
        <v>0</v>
      </c>
      <c r="B1" s="2" t="s">
        <v>3</v>
      </c>
      <c r="C1" s="2" t="s">
        <v>5</v>
      </c>
      <c r="D1" s="2" t="s">
        <v>4</v>
      </c>
      <c r="E1" s="2"/>
      <c r="F1" s="2" t="s">
        <v>1</v>
      </c>
      <c r="G1" s="2" t="s">
        <v>6</v>
      </c>
      <c r="H1" s="2" t="s">
        <v>33</v>
      </c>
      <c r="I1" s="2" t="s">
        <v>4</v>
      </c>
      <c r="J1" s="1"/>
      <c r="K1" s="1"/>
      <c r="L1" s="1"/>
      <c r="M1" s="1"/>
      <c r="N1" s="1"/>
      <c r="O1" s="1"/>
      <c r="P1" s="1"/>
    </row>
    <row r="2" spans="1:16" x14ac:dyDescent="0.2">
      <c r="A2" s="4" t="s">
        <v>2</v>
      </c>
      <c r="B2" s="4">
        <v>1</v>
      </c>
      <c r="C2" s="4">
        <v>4</v>
      </c>
      <c r="D2" s="4">
        <f>B2*C2</f>
        <v>4</v>
      </c>
      <c r="E2" s="4"/>
      <c r="F2" s="4" t="s">
        <v>22</v>
      </c>
      <c r="G2" s="4">
        <v>200</v>
      </c>
      <c r="H2" s="4">
        <v>23.75</v>
      </c>
      <c r="I2" s="4">
        <f>G2*H2</f>
        <v>4750</v>
      </c>
      <c r="J2" s="1"/>
      <c r="K2" s="1"/>
      <c r="L2" s="1"/>
      <c r="M2" s="1"/>
      <c r="N2" s="1"/>
      <c r="O2" s="1"/>
      <c r="P2" s="1"/>
    </row>
    <row r="3" spans="1:16" x14ac:dyDescent="0.2">
      <c r="A3" s="4" t="s">
        <v>8</v>
      </c>
      <c r="B3" s="4">
        <v>30</v>
      </c>
      <c r="C3" s="4">
        <v>1</v>
      </c>
      <c r="D3" s="4">
        <f t="shared" ref="D3:D8" si="0">B3*C3</f>
        <v>30</v>
      </c>
      <c r="E3" s="4"/>
      <c r="F3" s="4" t="s">
        <v>23</v>
      </c>
      <c r="G3" s="4">
        <v>208</v>
      </c>
      <c r="H3" s="4">
        <v>23.75</v>
      </c>
      <c r="I3" s="4">
        <f>G3*H3</f>
        <v>4940</v>
      </c>
      <c r="J3" s="1"/>
      <c r="K3" s="1"/>
      <c r="L3" s="1"/>
      <c r="M3" s="1"/>
      <c r="N3" s="1"/>
      <c r="O3" s="1"/>
      <c r="P3" s="1"/>
    </row>
    <row r="4" spans="1:16" x14ac:dyDescent="0.2">
      <c r="A4" s="4" t="s">
        <v>9</v>
      </c>
      <c r="B4" s="4">
        <v>20</v>
      </c>
      <c r="C4" s="4">
        <v>1</v>
      </c>
      <c r="D4" s="4">
        <f t="shared" si="0"/>
        <v>20</v>
      </c>
      <c r="E4" s="4"/>
      <c r="F4" s="4"/>
      <c r="G4" s="4"/>
      <c r="H4" s="4"/>
      <c r="I4" s="4"/>
      <c r="J4" s="1"/>
      <c r="K4" s="1"/>
      <c r="L4" s="1"/>
      <c r="M4" s="1"/>
      <c r="N4" s="1"/>
      <c r="O4" s="1"/>
      <c r="P4" s="1"/>
    </row>
    <row r="5" spans="1:16" x14ac:dyDescent="0.2">
      <c r="A5" s="4" t="s">
        <v>10</v>
      </c>
      <c r="B5" s="4">
        <v>5</v>
      </c>
      <c r="C5" s="4">
        <v>1</v>
      </c>
      <c r="D5" s="4">
        <f t="shared" si="0"/>
        <v>5</v>
      </c>
      <c r="E5" s="4"/>
      <c r="F5" s="4"/>
      <c r="G5" s="4"/>
      <c r="H5" s="4"/>
      <c r="I5" s="4"/>
      <c r="J5" s="1"/>
      <c r="K5" s="1"/>
      <c r="L5" s="1"/>
      <c r="M5" s="1"/>
      <c r="N5" s="1"/>
      <c r="O5" s="1"/>
      <c r="P5" s="1"/>
    </row>
    <row r="6" spans="1:16" x14ac:dyDescent="0.2">
      <c r="A6" s="4" t="s">
        <v>11</v>
      </c>
      <c r="B6" s="4">
        <v>250</v>
      </c>
      <c r="C6" s="4">
        <v>1</v>
      </c>
      <c r="D6" s="4">
        <f t="shared" si="0"/>
        <v>250</v>
      </c>
      <c r="E6" s="4"/>
      <c r="F6" s="4"/>
      <c r="G6" s="4"/>
      <c r="H6" s="4"/>
      <c r="I6" s="4"/>
      <c r="J6" s="1"/>
      <c r="K6" s="1"/>
      <c r="L6" s="1"/>
      <c r="M6" s="1"/>
      <c r="N6" s="1"/>
      <c r="O6" s="1"/>
      <c r="P6" s="1"/>
    </row>
    <row r="7" spans="1:16" x14ac:dyDescent="0.2">
      <c r="A7" s="4" t="s">
        <v>30</v>
      </c>
      <c r="B7" s="4">
        <v>20</v>
      </c>
      <c r="C7" s="4">
        <v>1</v>
      </c>
      <c r="D7" s="4">
        <f t="shared" si="0"/>
        <v>20</v>
      </c>
      <c r="E7" s="4"/>
      <c r="F7" s="4"/>
      <c r="G7" s="4"/>
      <c r="H7" s="4"/>
      <c r="I7" s="4"/>
      <c r="J7" s="1"/>
      <c r="K7" s="1"/>
      <c r="L7" s="1"/>
      <c r="M7" s="1"/>
      <c r="N7" s="1"/>
      <c r="O7" s="1"/>
      <c r="P7" s="1"/>
    </row>
    <row r="8" spans="1:16" x14ac:dyDescent="0.2">
      <c r="A8" s="4" t="s">
        <v>32</v>
      </c>
      <c r="B8" s="4">
        <v>2</v>
      </c>
      <c r="C8" s="4">
        <v>1</v>
      </c>
      <c r="D8" s="4">
        <f t="shared" si="0"/>
        <v>2</v>
      </c>
      <c r="E8" s="12"/>
      <c r="F8" s="12"/>
      <c r="G8" s="12"/>
      <c r="H8" s="12"/>
      <c r="I8" s="12"/>
      <c r="J8" s="1"/>
      <c r="K8" s="1"/>
      <c r="L8" s="1"/>
      <c r="M8" s="1"/>
      <c r="N8" s="1"/>
      <c r="O8" s="1"/>
      <c r="P8" s="1"/>
    </row>
    <row r="9" spans="1:16" x14ac:dyDescent="0.2">
      <c r="A9" s="3" t="s">
        <v>7</v>
      </c>
      <c r="B9" s="3">
        <v>6</v>
      </c>
      <c r="C9" s="3">
        <v>1</v>
      </c>
      <c r="D9" s="3">
        <f t="shared" ref="D9:D24" si="1">B9*C9</f>
        <v>6</v>
      </c>
      <c r="E9" s="3"/>
      <c r="F9" s="3"/>
      <c r="G9" s="3"/>
      <c r="H9" s="3"/>
      <c r="I9" s="3"/>
      <c r="J9" s="1"/>
      <c r="K9" s="1"/>
      <c r="L9" s="1"/>
      <c r="M9" s="1"/>
      <c r="N9" s="1"/>
      <c r="O9" s="1"/>
      <c r="P9" s="1"/>
    </row>
    <row r="10" spans="1:16" x14ac:dyDescent="0.2">
      <c r="A10" s="3" t="s">
        <v>13</v>
      </c>
      <c r="B10" s="3">
        <v>16</v>
      </c>
      <c r="C10" s="3">
        <v>1</v>
      </c>
      <c r="D10" s="3">
        <f t="shared" si="1"/>
        <v>16</v>
      </c>
      <c r="E10" s="3"/>
      <c r="F10" s="3"/>
      <c r="G10" s="3"/>
      <c r="H10" s="3"/>
      <c r="I10" s="3"/>
      <c r="J10" s="1"/>
      <c r="K10" s="1"/>
      <c r="L10" s="1"/>
      <c r="M10" s="1"/>
      <c r="N10" s="1"/>
      <c r="O10" s="1"/>
      <c r="P10" s="1"/>
    </row>
    <row r="11" spans="1:16" x14ac:dyDescent="0.2">
      <c r="A11" s="6" t="s">
        <v>28</v>
      </c>
      <c r="B11" s="6">
        <v>30</v>
      </c>
      <c r="C11" s="6">
        <v>1</v>
      </c>
      <c r="D11" s="6">
        <f t="shared" si="1"/>
        <v>30</v>
      </c>
      <c r="E11" s="6"/>
      <c r="F11" s="6"/>
      <c r="G11" s="6"/>
      <c r="H11" s="6"/>
      <c r="I11" s="6"/>
      <c r="J11" s="1"/>
      <c r="K11" s="1"/>
      <c r="L11" s="1"/>
      <c r="M11" s="1"/>
      <c r="N11" s="1"/>
      <c r="O11" s="1"/>
      <c r="P11" s="1"/>
    </row>
    <row r="12" spans="1:16" x14ac:dyDescent="0.2">
      <c r="A12" s="6" t="s">
        <v>18</v>
      </c>
      <c r="B12" s="6">
        <v>15</v>
      </c>
      <c r="C12" s="6">
        <v>1</v>
      </c>
      <c r="D12" s="6">
        <f t="shared" si="1"/>
        <v>15</v>
      </c>
      <c r="E12" s="6"/>
      <c r="F12" s="6"/>
      <c r="G12" s="6"/>
      <c r="H12" s="6"/>
      <c r="I12" s="6"/>
      <c r="J12" s="1"/>
      <c r="K12" s="1"/>
      <c r="L12" s="1"/>
      <c r="M12" s="1"/>
      <c r="N12" s="1"/>
      <c r="O12" s="1"/>
      <c r="P12" s="1"/>
    </row>
    <row r="13" spans="1:16" x14ac:dyDescent="0.2">
      <c r="A13" s="6" t="s">
        <v>19</v>
      </c>
      <c r="B13" s="6">
        <v>10.5</v>
      </c>
      <c r="C13" s="6">
        <v>2</v>
      </c>
      <c r="D13" s="6">
        <f t="shared" si="1"/>
        <v>21</v>
      </c>
      <c r="E13" s="6"/>
      <c r="F13" s="6"/>
      <c r="G13" s="6"/>
      <c r="H13" s="6"/>
      <c r="I13" s="6"/>
      <c r="J13" s="1"/>
      <c r="K13" s="1"/>
      <c r="L13" s="1"/>
      <c r="M13" s="1"/>
      <c r="N13" s="1"/>
      <c r="O13" s="1"/>
      <c r="P13" s="1"/>
    </row>
    <row r="14" spans="1:16" x14ac:dyDescent="0.2">
      <c r="A14" s="7" t="s">
        <v>14</v>
      </c>
      <c r="B14" s="7">
        <v>0.89</v>
      </c>
      <c r="C14" s="7">
        <v>10</v>
      </c>
      <c r="D14" s="7">
        <f t="shared" si="1"/>
        <v>8.9</v>
      </c>
      <c r="E14" s="7"/>
      <c r="F14" s="7"/>
      <c r="G14" s="7"/>
      <c r="H14" s="7"/>
      <c r="I14" s="7"/>
      <c r="J14" s="1"/>
      <c r="K14" s="1"/>
      <c r="L14" s="1"/>
      <c r="M14" s="1"/>
      <c r="N14" s="1"/>
      <c r="O14" s="1"/>
      <c r="P14" s="1"/>
    </row>
    <row r="15" spans="1:16" x14ac:dyDescent="0.2">
      <c r="A15" s="7" t="s">
        <v>20</v>
      </c>
      <c r="B15" s="7">
        <v>3</v>
      </c>
      <c r="C15" s="7">
        <v>2</v>
      </c>
      <c r="D15" s="7">
        <f t="shared" si="1"/>
        <v>6</v>
      </c>
      <c r="E15" s="7"/>
      <c r="F15" s="7"/>
      <c r="G15" s="7"/>
      <c r="H15" s="7"/>
      <c r="I15" s="7"/>
      <c r="J15" s="1"/>
      <c r="K15" s="1"/>
      <c r="L15" s="1"/>
      <c r="M15" s="1"/>
      <c r="N15" s="1"/>
      <c r="O15" s="1"/>
      <c r="P15" s="1"/>
    </row>
    <row r="16" spans="1:16" x14ac:dyDescent="0.2">
      <c r="A16" s="7" t="s">
        <v>16</v>
      </c>
      <c r="B16" s="7">
        <v>1.5</v>
      </c>
      <c r="C16" s="7">
        <v>1</v>
      </c>
      <c r="D16" s="7">
        <f t="shared" si="1"/>
        <v>1.5</v>
      </c>
      <c r="E16" s="7"/>
      <c r="F16" s="7"/>
      <c r="G16" s="7"/>
      <c r="H16" s="7"/>
      <c r="I16" s="7"/>
      <c r="J16" s="1"/>
      <c r="K16" s="1"/>
      <c r="L16" s="1"/>
      <c r="M16" s="1"/>
      <c r="N16" s="1"/>
      <c r="O16" s="1"/>
      <c r="P16" s="1"/>
    </row>
    <row r="17" spans="1:16" x14ac:dyDescent="0.2">
      <c r="A17" s="7" t="s">
        <v>21</v>
      </c>
      <c r="B17" s="7">
        <v>8.5</v>
      </c>
      <c r="C17" s="7">
        <v>1</v>
      </c>
      <c r="D17" s="7">
        <f t="shared" si="1"/>
        <v>8.5</v>
      </c>
      <c r="E17" s="7"/>
      <c r="F17" s="7"/>
      <c r="G17" s="7"/>
      <c r="H17" s="7"/>
      <c r="I17" s="7"/>
      <c r="J17" s="1"/>
      <c r="K17" s="1"/>
      <c r="L17" s="1"/>
      <c r="M17" s="1"/>
      <c r="N17" s="1"/>
      <c r="O17" s="1"/>
      <c r="P17" s="1"/>
    </row>
    <row r="18" spans="1:16" x14ac:dyDescent="0.2">
      <c r="A18" s="7" t="s">
        <v>15</v>
      </c>
      <c r="B18" s="7">
        <v>18</v>
      </c>
      <c r="C18" s="7">
        <v>1</v>
      </c>
      <c r="D18" s="7">
        <f t="shared" si="1"/>
        <v>18</v>
      </c>
      <c r="E18" s="7"/>
      <c r="F18" s="7"/>
      <c r="G18" s="7"/>
      <c r="H18" s="7"/>
      <c r="I18" s="7"/>
      <c r="J18" s="1"/>
      <c r="K18" s="1"/>
      <c r="L18" s="1"/>
      <c r="M18" s="1"/>
      <c r="N18" s="1"/>
      <c r="O18" s="1"/>
      <c r="P18" s="1"/>
    </row>
    <row r="19" spans="1:16" x14ac:dyDescent="0.2">
      <c r="A19" s="5" t="s">
        <v>17</v>
      </c>
      <c r="B19" s="5">
        <v>1</v>
      </c>
      <c r="C19" s="5">
        <v>1</v>
      </c>
      <c r="D19" s="5">
        <f t="shared" si="1"/>
        <v>1</v>
      </c>
      <c r="E19" s="5"/>
      <c r="F19" s="5"/>
      <c r="G19" s="5"/>
      <c r="H19" s="5"/>
      <c r="I19" s="5"/>
      <c r="J19" s="1"/>
      <c r="K19" s="1"/>
      <c r="L19" s="1"/>
      <c r="M19" s="1"/>
      <c r="N19" s="1"/>
      <c r="O19" s="1"/>
      <c r="P19" s="1"/>
    </row>
    <row r="20" spans="1:16" x14ac:dyDescent="0.2">
      <c r="A20" s="5" t="s">
        <v>12</v>
      </c>
      <c r="B20" s="5">
        <v>8</v>
      </c>
      <c r="C20" s="5">
        <v>1</v>
      </c>
      <c r="D20" s="5">
        <f t="shared" si="1"/>
        <v>8</v>
      </c>
      <c r="E20" s="5"/>
      <c r="F20" s="5"/>
      <c r="G20" s="5"/>
      <c r="H20" s="5"/>
      <c r="I20" s="5"/>
      <c r="J20" s="1"/>
      <c r="K20" s="1"/>
      <c r="L20" s="1"/>
      <c r="M20" s="1"/>
      <c r="N20" s="1"/>
      <c r="O20" s="1"/>
      <c r="P20" s="1"/>
    </row>
    <row r="21" spans="1:16" x14ac:dyDescent="0.2">
      <c r="A21" s="5" t="s">
        <v>29</v>
      </c>
      <c r="B21" s="5">
        <v>27</v>
      </c>
      <c r="C21" s="5">
        <v>2</v>
      </c>
      <c r="D21" s="5">
        <f t="shared" si="1"/>
        <v>54</v>
      </c>
      <c r="E21" s="5"/>
      <c r="F21" s="5"/>
      <c r="G21" s="5"/>
      <c r="H21" s="5"/>
      <c r="I21" s="5"/>
      <c r="J21" s="1"/>
      <c r="K21" s="1"/>
      <c r="L21" s="1"/>
      <c r="M21" s="1"/>
      <c r="N21" s="1"/>
      <c r="O21" s="1"/>
      <c r="P21" s="1"/>
    </row>
    <row r="22" spans="1:16" x14ac:dyDescent="0.2">
      <c r="A22" s="8" t="s">
        <v>24</v>
      </c>
      <c r="B22" s="8">
        <v>15</v>
      </c>
      <c r="C22" s="8">
        <v>5</v>
      </c>
      <c r="D22" s="8">
        <f t="shared" si="1"/>
        <v>75</v>
      </c>
      <c r="E22" s="8"/>
      <c r="F22" s="8"/>
      <c r="G22" s="8"/>
      <c r="H22" s="8"/>
      <c r="I22" s="8"/>
      <c r="J22" s="1"/>
      <c r="K22" s="1"/>
      <c r="L22" s="1"/>
      <c r="M22" s="1"/>
      <c r="N22" s="1"/>
      <c r="O22" s="1"/>
      <c r="P22" s="1"/>
    </row>
    <row r="23" spans="1:16" x14ac:dyDescent="0.2">
      <c r="A23" s="8" t="s">
        <v>25</v>
      </c>
      <c r="B23" s="8">
        <v>20</v>
      </c>
      <c r="C23" s="8">
        <v>4</v>
      </c>
      <c r="D23" s="8">
        <f t="shared" si="1"/>
        <v>80</v>
      </c>
      <c r="E23" s="8"/>
      <c r="F23" s="8"/>
      <c r="G23" s="8"/>
      <c r="H23" s="8"/>
      <c r="I23" s="8"/>
      <c r="J23" s="1"/>
      <c r="K23" s="1"/>
      <c r="L23" s="1"/>
      <c r="M23" s="1"/>
      <c r="N23" s="1"/>
      <c r="O23" s="1"/>
      <c r="P23" s="1"/>
    </row>
    <row r="24" spans="1:16" x14ac:dyDescent="0.2">
      <c r="A24" s="8" t="s">
        <v>26</v>
      </c>
      <c r="B24" s="8">
        <v>25</v>
      </c>
      <c r="C24" s="8">
        <v>6</v>
      </c>
      <c r="D24" s="8">
        <f t="shared" si="1"/>
        <v>150</v>
      </c>
      <c r="E24" s="8"/>
      <c r="F24" s="8"/>
      <c r="G24" s="8"/>
      <c r="H24" s="8"/>
      <c r="I24" s="8"/>
      <c r="J24" s="1"/>
      <c r="K24" s="1"/>
      <c r="L24" s="1"/>
      <c r="M24" s="1"/>
      <c r="N24" s="1"/>
      <c r="O24" s="1"/>
      <c r="P24" s="1"/>
    </row>
    <row r="25" spans="1:16" x14ac:dyDescent="0.2">
      <c r="A25" s="8" t="s">
        <v>27</v>
      </c>
      <c r="B25" s="8"/>
      <c r="C25" s="8"/>
      <c r="D25" s="8">
        <v>20</v>
      </c>
      <c r="E25" s="8"/>
      <c r="F25" s="8"/>
      <c r="G25" s="8"/>
      <c r="H25" s="8"/>
      <c r="I25" s="8"/>
      <c r="J25" s="1"/>
      <c r="K25" s="1"/>
      <c r="L25" s="1"/>
      <c r="M25" s="1"/>
      <c r="N25" s="1"/>
      <c r="O25" s="1"/>
      <c r="P25" s="1"/>
    </row>
    <row r="26" spans="1:1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">
      <c r="A27" s="9" t="s">
        <v>34</v>
      </c>
      <c r="B27" s="10">
        <f>SUM(D2:D25)</f>
        <v>849.9</v>
      </c>
      <c r="C27" s="10" t="s">
        <v>31</v>
      </c>
      <c r="D27" s="1"/>
      <c r="E27" s="13" t="s">
        <v>35</v>
      </c>
      <c r="F27" s="13"/>
      <c r="G27" s="13"/>
      <c r="H27" s="10">
        <f>SUM(I2:I3)</f>
        <v>9690</v>
      </c>
      <c r="I27" s="10" t="s">
        <v>31</v>
      </c>
      <c r="J27" s="1"/>
      <c r="K27" s="1"/>
      <c r="L27" s="1"/>
      <c r="M27" s="1"/>
      <c r="N27" s="1"/>
      <c r="O27" s="1"/>
      <c r="P27" s="1"/>
    </row>
    <row r="28" spans="1:1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">
      <c r="A29" s="1"/>
      <c r="B29" s="14" t="s">
        <v>36</v>
      </c>
      <c r="C29" s="14"/>
      <c r="D29" s="14"/>
      <c r="E29" s="11">
        <f>B27+H27</f>
        <v>10539.9</v>
      </c>
      <c r="F29" s="11" t="s">
        <v>31</v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"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</sheetData>
  <mergeCells count="2">
    <mergeCell ref="E27:G27"/>
    <mergeCell ref="B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Emmerode Da Mota</dc:creator>
  <cp:lastModifiedBy>Emmerode Da Mota</cp:lastModifiedBy>
  <dcterms:created xsi:type="dcterms:W3CDTF">2026-05-26T10:24:15Z</dcterms:created>
  <dcterms:modified xsi:type="dcterms:W3CDTF">2026-09-26T22:29:08Z</dcterms:modified>
</cp:coreProperties>
</file>